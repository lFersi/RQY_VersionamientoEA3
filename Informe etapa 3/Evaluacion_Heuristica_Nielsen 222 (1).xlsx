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5"/>
    <sheet state="visible" name="Evaluacion" sheetId="2" r:id="rId6"/>
    <sheet state="visible" name="Resumen" sheetId="3" r:id="rId7"/>
    <sheet state="visible" name="Referencia" sheetId="4" r:id="rId8"/>
  </sheets>
  <definedNames/>
  <calcPr/>
</workbook>
</file>

<file path=xl/sharedStrings.xml><?xml version="1.0" encoding="utf-8"?>
<sst xmlns="http://schemas.openxmlformats.org/spreadsheetml/2006/main" count="168" uniqueCount="144">
  <si>
    <t>EVALUACION HEURISTICA DE USABILIDAD - NIELSEN</t>
  </si>
  <si>
    <t>Ingenieria de Software - Calidad y Pruebas - Plantilla de Evaluacion</t>
  </si>
  <si>
    <t>INSTRUCCIONES DE USO</t>
  </si>
  <si>
    <t>1. Complete los datos del equipo evaluador en esta hoja.</t>
  </si>
  <si>
    <t>2. Navegue por el MVP asignado durante al menos 20 minutos antes de evaluar.</t>
  </si>
  <si>
    <t>3. Use la hoja 'Evaluacion' para registrar todos los problemas encontrados.</t>
  </si>
  <si>
    <t>4. Para cada problema, asigne una severidad segun la escala de Nielsen (0 a 4).</t>
  </si>
  <si>
    <t>5. Documente con capturas de pantalla o notas descriptivas en la columna Evidencia.</t>
  </si>
  <si>
    <t>6. La hoja 'Resumen' se actualiza automaticamente al completar la evaluacion.</t>
  </si>
  <si>
    <t>7. La hoja 'Referencia' contiene los principios y ejemplos para consulta.</t>
  </si>
  <si>
    <t>ESCALA DE SEVERIDAD (Nielsen, 1994)</t>
  </si>
  <si>
    <t>0</t>
  </si>
  <si>
    <t>No es un problema de usabilidad</t>
  </si>
  <si>
    <t>1</t>
  </si>
  <si>
    <t>Problema cosmético | corregir solo si hay tiempo</t>
  </si>
  <si>
    <t>2</t>
  </si>
  <si>
    <t>Problema menor | baja prioridad de correccion</t>
  </si>
  <si>
    <t>3</t>
  </si>
  <si>
    <t>Problema mayor  | alta prioridad, dificulta el uso</t>
  </si>
  <si>
    <t>4</t>
  </si>
  <si>
    <t>CATASTROFICO | imperativo corregir antes del lanzamiento</t>
  </si>
  <si>
    <t>REGISTRO DE PROBLEMAS DE USABILIDAD — EVALUACION HEURISTICA</t>
  </si>
  <si>
    <t>Complete una fila por cada problema encontrado. Puede agregar mas filas segun sea necesario.</t>
  </si>
  <si>
    <t>#</t>
  </si>
  <si>
    <t>Heuristica</t>
  </si>
  <si>
    <t>Descripcion del problema</t>
  </si>
  <si>
    <t>Ubicacion en el MVP</t>
  </si>
  <si>
    <t>Severidad
(0-4)</t>
  </si>
  <si>
    <t>Evidencia
(captura/URL)</t>
  </si>
  <si>
    <t>Recomendacion de mejora</t>
  </si>
  <si>
    <t>Evaluador</t>
  </si>
  <si>
    <t>H1</t>
  </si>
  <si>
    <t>Al presionar el botón "Descargar reporte", el sistema no muestra ningún indicador de carga (spinner), dejando la pantalla estática por unos segundos.</t>
  </si>
  <si>
    <t>Pantalla: Estado de cuenta</t>
  </si>
  <si>
    <t>Agregar un spinner o barra de carga que indique que el PDF se está generando de fondo.</t>
  </si>
  <si>
    <t>Fernando Chamorro</t>
  </si>
  <si>
    <t>Al hacer clic sobre alguno de los pagos para "Visualizar pago específico", el cuadro con el detalle aparece de manera instantánea y brusca sin ninguna transición. Al no haber un cambio fluido, el usuario tarda un par de segundos en procesar qué fue lo que apareció en pantalla.</t>
  </si>
  <si>
    <t>Pantalla: Pestaña de pagos</t>
  </si>
  <si>
    <t>En las interacciones del prototipo, añadir una animación sutil de entrada (como un desvanecimiento o Fade-in) y oscurecer mas el fondo de la pantalla principal para que resalte claramente que se abrió un elemento nuevo sobrepuesto.</t>
  </si>
  <si>
    <t>H2</t>
  </si>
  <si>
    <t>En el menú lateral, el botón para ir a la sección "Visualizar deudas" utiliza el icono de una signo de exclamación, en lugar de un icono relacionado con dinero, finanzas o un estado de cuenta. El usuario no asocia el símbolo visual con el concepto del mundo real.</t>
  </si>
  <si>
    <t>Menú inferior de navegación</t>
  </si>
  <si>
    <t>Cambiar el icono por una metáfora común en el mundo real y digital, como el símbolo de un billete, una tarjeta de crédito, o un signo de exclamación sobre una factura</t>
  </si>
  <si>
    <t>H3</t>
  </si>
  <si>
    <t>Al simular que el usuario ingresa un correo incorrecto, el prototipo deja guardado automáticamente el texto erróneo en el campo de texto. El diseño no ofrece un icono rápido (como una "X" gris dentro del campo) para vaciarlo por completo, obligando al usuario a mantener presionada la tecla de retroceso (Backspace) para corregir su error.</t>
  </si>
  <si>
    <t>Pantalla: Inicio de sesión</t>
  </si>
  <si>
    <t>Añadir un icono sutil de "limpiar campo" dentro del cuadro de texto del correo que aparezca únicamente cuando el usuario empiece a escribir.</t>
  </si>
  <si>
    <t>H4</t>
  </si>
  <si>
    <t>Al abrir el modal de "Visualizar pago específico", este se cierra haciendo clic en un botón que dice "Cerrar". No obstante, si se abre un modal de confirmación en otra parte del sistema, el botón para quitar la ventana dice "OK" o "Entendido". La falta de consistencia en las palabras de acción confunde al usuario sobre si el comportamiento de los botones es el mismo.</t>
  </si>
  <si>
    <t>Interfaz General / Ventanas modales.</t>
  </si>
  <si>
    <t>Definir una palabra estándar para la acción de salir de un cuadro emergente (por ejemplo, usar siempre el término "Cerrar" o "Volver" en todo el prototipo).</t>
  </si>
  <si>
    <t>H5</t>
  </si>
  <si>
    <t>Al hacer clic en el botón para "descargar reporte estado de cuenta" (CP-07), el prototipo no bloquea el botón ni cambia su estado visual mientras procesa la acción. Esto permite que el usuario cliquee repetidamente por ansiedad o confusión, lo que en un sistema real gatillaría múltiples peticiones idénticas al servidor o descargas duplicadas.</t>
  </si>
  <si>
    <t>Pantalla: Estado de cuenta.</t>
  </si>
  <si>
    <t>Inhabilitar temporalmente el botón (cambiándolo a un estado desactivado/gris) inmediatamente después del primer clic del usuario, reactivándolo solo cuando la acción finalice.</t>
  </si>
  <si>
    <t>H6</t>
  </si>
  <si>
    <t>Al hacer clic sobre un "pago específico"  el el modal emergente muestra los datos de la transacción, pero oculta por completo los otros pagos que el usuario estaba visualizando atrás en la pantalla principal. Si el residente quiere comparar si el monto del comprobante coincide con el saldo pendiente total, tiene que cerrar el modal, memorizar la cifra de la pantalla trasera, y volver a abrirlo.</t>
  </si>
  <si>
    <t>Pantalla: Detalle de pago.</t>
  </si>
  <si>
    <t>Incluir una pequeña tarjeta informativa fija o un texto secundario en la esquina superior del modal que recuerde el "Saldo total pendiente de la cuenta".</t>
  </si>
  <si>
    <t>H7</t>
  </si>
  <si>
    <t>Si un usuario avanzado necesita respaldar todos sus documentos del año, el prototipo lo obliga a realizar el flujo de "descarga comprobante de pago" (CP-10) de manera individual: hacer clic en un pago, abrir el detalle, descargar, cerrar el detalle, y repetir el proceso fila por fila. No existe un acelerador que permita optimizar la tarea.</t>
  </si>
  <si>
    <t>Pantalla: Pestaña de pagos.</t>
  </si>
  <si>
    <t>Incorporar casillas de selección múltiple (checkboxes) en las filas de la tabla junto con un botón principal en la parte superior que diga "Descargar seleccionados".</t>
  </si>
  <si>
    <t>H8</t>
  </si>
  <si>
    <t>En la pantalla principal, las opciones para ir a "deudas" y "pagos" aparecen al mismo tiempo en el centro del menú, y también en unos botones dentro del pie de página (footer). Esta repetición bidimensional de los mismos accesos satura visualmente la interfaz y añade ruido innecesario a un diseño que debería ser limpio.</t>
  </si>
  <si>
    <t>Interfaz General / Estructura de Navegación.</t>
  </si>
  <si>
    <t>Dejar un único punto de acceso principal estructurado (como el menú lateral) y limpiar el encabezado y el pie de página de enlaces redundantes.</t>
  </si>
  <si>
    <t>H9</t>
  </si>
  <si>
    <t>Cuando el sistema despliega una franja roja de error por un formato de correo inválido, no hay ningun icono de "X" diseñado para cerrar y quitar el aviso de la pantalla. El usuario se frustra al no poder limpiar su interfaz de alertas de manera eficiente.</t>
  </si>
  <si>
    <t>Interfaz General / Componentes de Alerta.</t>
  </si>
  <si>
    <t>Crear un boton de cierre para las alertas que sea notorio para los usuarios</t>
  </si>
  <si>
    <t>H10</t>
  </si>
  <si>
    <t>El prototipo básico no incluye ninguna pestaña, botón o enlace destinado a guiar al residente sobre cómo utilizar la plataforma (por ejemplo, cómo reportar un pago que no aparece o qué hacer si no puede descargar un archivo). Si el usuario se confunde, no tiene ningún documento de soporte al cual recurrir dentro del sistema.</t>
  </si>
  <si>
    <t>Interfaz General / Menú de navegación.</t>
  </si>
  <si>
    <t>Incorporar una opción llamada "Ayuda" o "Preguntas Frecuentes (FAQ)" en el menú lateral o en el pie de página que redirija a una guía básica de uso.</t>
  </si>
  <si>
    <t>RESUMEN EJECUTIVO  EVALUACION HEURISTICA</t>
  </si>
  <si>
    <t>Los valores se calculan automaticamente desde la hoja Evaluacion</t>
  </si>
  <si>
    <t>METRICAS GLOBALES</t>
  </si>
  <si>
    <t>Total de problemas registrados</t>
  </si>
  <si>
    <t>Promedio de severidad</t>
  </si>
  <si>
    <t>Problemas catastroficos (sev. 4)</t>
  </si>
  <si>
    <t>Problemas mayores (sev. 3)</t>
  </si>
  <si>
    <t>Problemas menores (sev. 1-2)</t>
  </si>
  <si>
    <t>DISTRIBUCION POR HEURISTICA</t>
  </si>
  <si>
    <t># Problemas</t>
  </si>
  <si>
    <t>Sev. Max.</t>
  </si>
  <si>
    <t>Sev. Prom.</t>
  </si>
  <si>
    <t>Estado</t>
  </si>
  <si>
    <t>Prioridad</t>
  </si>
  <si>
    <t>H1 - Visibilidad del estado</t>
  </si>
  <si>
    <t>H2 - Sistema y mundo real</t>
  </si>
  <si>
    <t>H3 - Control y libertad</t>
  </si>
  <si>
    <t>H4 - Consistencia y estandares</t>
  </si>
  <si>
    <t>H5 - Prevencion de errores</t>
  </si>
  <si>
    <t>H6 - Reconocimiento &gt; recuerdo</t>
  </si>
  <si>
    <t>H7 - Flexibilidad y eficiencia</t>
  </si>
  <si>
    <t>H8 - Diseno minimalista</t>
  </si>
  <si>
    <t>H9 - Recuperacion de errores</t>
  </si>
  <si>
    <t>H10 - Ayuda y documentacion</t>
  </si>
  <si>
    <t>REFERENCIA RAPIDA — 10 HEURISTICAS DE NIELSEN</t>
  </si>
  <si>
    <t>Consulta este panel mientras evaluas el MVP. Los ejemplos son orientativos para sistemas web/movil.</t>
  </si>
  <si>
    <t>Descripcion del principio</t>
  </si>
  <si>
    <t>Ejemplo en MVP (buena practica)</t>
  </si>
  <si>
    <t>Señal de problema a registrar</t>
  </si>
  <si>
    <t>Visibilidad del estado</t>
  </si>
  <si>
    <t>El sistema mantiene informado al usuario sobre lo que ocurre mediante feedback oportuno.</t>
  </si>
  <si>
    <t>Barra de progreso al subir archivos. Spinner de carga. Toast de confirmacion al guardar datos.</t>
  </si>
  <si>
    <t>Boton que no responde visualmente. Sin indicador de carga. Usuario no sabe si la accion funciono.</t>
  </si>
  <si>
    <t>Sistema y mundo real</t>
  </si>
  <si>
    <t>El sistema usa el lenguaje del usuario: palabras y conceptos familiares, no tecnicos.</t>
  </si>
  <si>
    <t>Icono de carrito para compras. 'Papelera' para eliminar. Fechas en formato dd/mm/aaaa.</t>
  </si>
  <si>
    <t>Mensajes tecnicos: 'Error 403 Forbidden'. Terminos internos del sistema expuestos al usuario.</t>
  </si>
  <si>
    <t>Control y libertad</t>
  </si>
  <si>
    <t>El usuario puede salir de acciones no deseadas con salidas de emergencia claras.</t>
  </si>
  <si>
    <t>Opcion Deshacer al eliminar elemento. Boton Cancelar en formularios. Navegacion por pasos reversible.</t>
  </si>
  <si>
    <t>Sin forma de cancelar un proceso. Formulario sin boton Atras. Sin opcion de deshacer eliminacion.</t>
  </si>
  <si>
    <t>Consistencia y estandares</t>
  </si>
  <si>
    <t>Las mismas acciones y elementos se comportan igual en todo el sistema.</t>
  </si>
  <si>
    <t>Boton primario mismo color en todo el sistema. Color rojo siempre indica error. Campos en mismo orden.</t>
  </si>
  <si>
    <t>Guardar, Registrar y Confirmar para la misma accion. Botones de distinto color por modulo.</t>
  </si>
  <si>
    <t>Prevencion de errores</t>
  </si>
  <si>
    <t>El diseño evita que los errores ocurran antes de que el usuario los cometa.</t>
  </si>
  <si>
    <t>Campo deshabilitado si falta informacion. Confirmacion antes de eliminar. Validacion en tiempo real.</t>
  </si>
  <si>
    <t>Fecha 30/02 se acepta sin validar. Boton Enviar activo con campos requeridos vacios.</t>
  </si>
  <si>
    <t>Reconocimiento &gt; recuerdo</t>
  </si>
  <si>
    <t>Minimizar la carga de memoria: las opciones disponibles deben ser visibles, no memorizadas.</t>
  </si>
  <si>
    <t>Autocompletado en busquedas. Historial de elementos recientes. Breadcrumbs de navegacion.</t>
  </si>
  <si>
    <t>Usuario debe recordar sintaxis exacta. Formulario borra datos al navegar hacia atras.</t>
  </si>
  <si>
    <t>Flexibilidad y eficiencia</t>
  </si>
  <si>
    <t>Atajos para expertos sin afectar la experiencia de usuarios nuevos.</t>
  </si>
  <si>
    <t>Atajos de teclado Ctrl+N. Filtros guardados. Exportacion masiva de datos con un clic.</t>
  </si>
  <si>
    <t>Solo se puede registrar de uno en uno. No hay forma de repetir la ultima accion ejecutada.</t>
  </si>
  <si>
    <t>Diseño minimalista</t>
  </si>
  <si>
    <t>Solo la informacion necesaria: los elementos irrelevantes compiten por la atencion del usuario.</t>
  </si>
  <si>
    <t>Dashboard con 3 a 5 metricas clave. Formulario en pasos, no todo en una pantalla.</t>
  </si>
  <si>
    <t>20 botones visibles simultaneamente. Panel con informacion que nunca se usa en el flujo principal.</t>
  </si>
  <si>
    <t>Recuperacion de errores</t>
  </si>
  <si>
    <t>Los mensajes de error son claros, indican el problema exacto y sugieren una solucion concreta.</t>
  </si>
  <si>
    <t>'El correo no tiene formato valido (ej: usuario@dominio.com)'. Enlace directo a solucion del error.</t>
  </si>
  <si>
    <t>'Error 500'. 'Operacion fallida'. Mensaje generico sin indicar que hacer para resolverlo.</t>
  </si>
  <si>
    <t>Ayuda y documentacion</t>
  </si>
  <si>
    <t>La ayuda es facil de encontrar, orientada a tareas concretas y accesible desde el flujo.</t>
  </si>
  <si>
    <t>Tooltip contextual en campos complejos. Guia de inicio rapido. FAQ con buscador integrado.</t>
  </si>
  <si>
    <t>Manual PDF de 80 paginas sin buscador. Ayuda solo accesible desde el menu principal oculto.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</si>
</sst>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theme="1"/>
      <name val="Calibri"/>
      <scheme val="minor"/>
    </font>
    <font>
      <b/>
      <sz val="16.0"/>
      <color theme="1"/>
      <name val="Arial"/>
    </font>
    <font/>
    <font>
      <i/>
      <sz val="11.0"/>
      <color theme="1"/>
      <name val="Arial"/>
    </font>
    <font>
      <b/>
      <sz val="10.0"/>
      <color theme="1"/>
      <name val="Arial"/>
    </font>
    <font>
      <sz val="10.0"/>
      <color theme="1"/>
      <name val="Arial"/>
    </font>
    <font>
      <b/>
      <sz val="12.0"/>
      <color theme="1"/>
      <name val="Arial"/>
    </font>
    <font>
      <b/>
      <sz val="13.0"/>
      <color theme="1"/>
      <name val="Arial"/>
    </font>
    <font>
      <i/>
      <sz val="9.0"/>
      <color theme="1"/>
      <name val="Arial"/>
    </font>
    <font>
      <b/>
      <sz val="10.0"/>
      <color rgb="FF5F5E5A"/>
      <name val="Arial"/>
    </font>
    <font>
      <sz val="10.0"/>
      <color rgb="FF2C2C2A"/>
      <name val="Arial"/>
    </font>
    <font>
      <b/>
      <sz val="10.0"/>
      <color rgb="FFFFFFFF"/>
      <name val="Arial"/>
    </font>
    <font>
      <sz val="14.0"/>
      <color theme="1"/>
      <name val="Arial"/>
    </font>
    <font>
      <sz val="12.0"/>
      <color theme="1"/>
      <name val="Arial"/>
    </font>
    <font>
      <sz val="11.0"/>
      <color theme="1"/>
      <name val="Calibri"/>
    </font>
    <font>
      <b/>
      <sz val="11.0"/>
      <color theme="1"/>
      <name val="Arial"/>
    </font>
  </fonts>
  <fills count="7">
    <fill>
      <patternFill patternType="none"/>
    </fill>
    <fill>
      <patternFill patternType="lightGray"/>
    </fill>
    <fill>
      <patternFill patternType="solid">
        <fgColor rgb="FFA5A5A5"/>
        <bgColor rgb="FFA5A5A5"/>
      </patternFill>
    </fill>
    <fill>
      <patternFill patternType="solid">
        <fgColor rgb="FFF8F8F6"/>
        <bgColor rgb="FFF8F8F6"/>
      </patternFill>
    </fill>
    <fill>
      <patternFill patternType="solid">
        <fgColor rgb="FFFFFFFF"/>
        <bgColor rgb="FFFFFFFF"/>
      </patternFill>
    </fill>
    <fill>
      <patternFill patternType="solid">
        <fgColor rgb="FF5F5E5A"/>
        <bgColor rgb="FF5F5E5A"/>
      </patternFill>
    </fill>
    <fill>
      <patternFill patternType="solid">
        <fgColor rgb="FFF2F2F2"/>
        <bgColor rgb="FFF2F2F2"/>
      </patternFill>
    </fill>
  </fills>
  <borders count="9">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3D1C7"/>
      </left>
      <right style="thin">
        <color rgb="FFD3D1C7"/>
      </right>
      <top style="thin">
        <color rgb="FFD3D1C7"/>
      </top>
      <bottom style="thin">
        <color rgb="FFD3D1C7"/>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2" fontId="3" numFmtId="0" xfId="0" applyAlignment="1" applyBorder="1" applyFont="1">
      <alignment horizontal="center" shrinkToFit="0" vertical="center" wrapText="1"/>
    </xf>
    <xf borderId="4" fillId="2" fontId="4" numFmtId="0" xfId="0" applyAlignment="1" applyBorder="1" applyFont="1">
      <alignment horizontal="left" shrinkToFit="0" vertical="center" wrapText="1"/>
    </xf>
    <xf borderId="5" fillId="0" fontId="2" numFmtId="0" xfId="0" applyBorder="1" applyFont="1"/>
    <xf borderId="6" fillId="0" fontId="2" numFmtId="0" xfId="0" applyBorder="1" applyFont="1"/>
    <xf borderId="4" fillId="0" fontId="5" numFmtId="0" xfId="0" applyAlignment="1" applyBorder="1" applyFont="1">
      <alignment horizontal="left" shrinkToFit="0" vertical="center" wrapText="1"/>
    </xf>
    <xf borderId="4" fillId="0" fontId="4" numFmtId="0" xfId="0" applyAlignment="1" applyBorder="1" applyFont="1">
      <alignment horizontal="left" shrinkToFit="0" vertical="center" wrapText="1"/>
    </xf>
    <xf borderId="7" fillId="0" fontId="6" numFmtId="0" xfId="0" applyAlignment="1" applyBorder="1" applyFont="1">
      <alignment horizontal="center" shrinkToFit="0" vertical="center" wrapText="1"/>
    </xf>
    <xf borderId="1" fillId="2" fontId="7" numFmtId="0" xfId="0" applyAlignment="1" applyBorder="1" applyFont="1">
      <alignment horizontal="center" shrinkToFit="0" vertical="center" wrapText="1"/>
    </xf>
    <xf borderId="1" fillId="2" fontId="8" numFmtId="0" xfId="0" applyAlignment="1" applyBorder="1" applyFont="1">
      <alignment horizontal="center" shrinkToFit="0" vertical="center" wrapText="1"/>
    </xf>
    <xf borderId="8" fillId="2" fontId="4" numFmtId="0" xfId="0" applyAlignment="1" applyBorder="1" applyFont="1">
      <alignment horizontal="center" shrinkToFit="0" vertical="center" wrapText="1"/>
    </xf>
    <xf borderId="8" fillId="3" fontId="9" numFmtId="0" xfId="0" applyAlignment="1" applyBorder="1" applyFill="1" applyFont="1">
      <alignment horizontal="center" shrinkToFit="0" vertical="center" wrapText="1"/>
    </xf>
    <xf borderId="8" fillId="3" fontId="10" numFmtId="0" xfId="0" applyAlignment="1" applyBorder="1" applyFont="1">
      <alignment horizontal="left" readingOrder="0" shrinkToFit="0" vertical="center" wrapText="1"/>
    </xf>
    <xf borderId="8" fillId="3" fontId="7" numFmtId="0" xfId="0" applyAlignment="1" applyBorder="1" applyFont="1">
      <alignment horizontal="center" readingOrder="0" shrinkToFit="0" vertical="center" wrapText="1"/>
    </xf>
    <xf borderId="8" fillId="3" fontId="10" numFmtId="0" xfId="0" applyAlignment="1" applyBorder="1" applyFont="1">
      <alignment horizontal="left" shrinkToFit="0" vertical="center" wrapText="1"/>
    </xf>
    <xf borderId="8" fillId="4" fontId="9" numFmtId="0" xfId="0" applyAlignment="1" applyBorder="1" applyFill="1" applyFont="1">
      <alignment horizontal="center" shrinkToFit="0" vertical="center" wrapText="1"/>
    </xf>
    <xf borderId="8" fillId="4" fontId="10" numFmtId="0" xfId="0" applyAlignment="1" applyBorder="1" applyFont="1">
      <alignment horizontal="left" readingOrder="0" shrinkToFit="0" vertical="center" wrapText="1"/>
    </xf>
    <xf borderId="8" fillId="4" fontId="7" numFmtId="0" xfId="0" applyAlignment="1" applyBorder="1" applyFont="1">
      <alignment horizontal="center" readingOrder="0" shrinkToFit="0" vertical="center" wrapText="1"/>
    </xf>
    <xf borderId="8" fillId="4" fontId="10" numFmtId="0" xfId="0" applyAlignment="1" applyBorder="1" applyFont="1">
      <alignment horizontal="left" shrinkToFit="0" vertical="center" wrapText="1"/>
    </xf>
    <xf borderId="1" fillId="5" fontId="11" numFmtId="0" xfId="0" applyAlignment="1" applyBorder="1" applyFill="1" applyFont="1">
      <alignment horizontal="left" shrinkToFit="0" vertical="center" wrapText="1"/>
    </xf>
    <xf borderId="7" fillId="3" fontId="4" numFmtId="0" xfId="0" applyAlignment="1" applyBorder="1" applyFont="1">
      <alignment horizontal="left" shrinkToFit="0" vertical="center" wrapText="1"/>
    </xf>
    <xf borderId="4" fillId="4" fontId="12" numFmtId="0" xfId="0" applyAlignment="1" applyBorder="1" applyFont="1">
      <alignment horizontal="center" shrinkToFit="0" vertical="center" wrapText="1"/>
    </xf>
    <xf borderId="4" fillId="4" fontId="12" numFmtId="164" xfId="0" applyAlignment="1" applyBorder="1" applyFont="1" applyNumberFormat="1">
      <alignment horizontal="center" shrinkToFit="0" vertical="center" wrapText="1"/>
    </xf>
    <xf borderId="1" fillId="2" fontId="4" numFmtId="0" xfId="0" applyAlignment="1" applyBorder="1" applyFont="1">
      <alignment horizontal="left" shrinkToFit="0" vertical="center" wrapText="1"/>
    </xf>
    <xf borderId="8" fillId="6" fontId="4" numFmtId="0" xfId="0" applyAlignment="1" applyBorder="1" applyFill="1" applyFont="1">
      <alignment horizontal="left" shrinkToFit="0" vertical="center" wrapText="1"/>
    </xf>
    <xf borderId="8" fillId="6" fontId="13" numFmtId="0" xfId="0" applyAlignment="1" applyBorder="1" applyFont="1">
      <alignment horizontal="center" shrinkToFit="0" vertical="center" wrapText="1"/>
    </xf>
    <xf borderId="8" fillId="6" fontId="14" numFmtId="164" xfId="0" applyAlignment="1" applyBorder="1" applyFont="1" applyNumberFormat="1">
      <alignment horizontal="center" shrinkToFit="0" vertical="center" wrapText="1"/>
    </xf>
    <xf borderId="8" fillId="6" fontId="5" numFmtId="0" xfId="0" applyAlignment="1" applyBorder="1" applyFont="1">
      <alignment horizontal="center" shrinkToFit="0" vertical="center" wrapText="1"/>
    </xf>
    <xf borderId="8" fillId="4" fontId="4" numFmtId="0" xfId="0" applyAlignment="1" applyBorder="1" applyFont="1">
      <alignment horizontal="left" shrinkToFit="0" vertical="center" wrapText="1"/>
    </xf>
    <xf borderId="8" fillId="4" fontId="13" numFmtId="0" xfId="0" applyAlignment="1" applyBorder="1" applyFont="1">
      <alignment horizontal="center" shrinkToFit="0" vertical="center" wrapText="1"/>
    </xf>
    <xf borderId="8" fillId="4" fontId="14" numFmtId="164" xfId="0" applyAlignment="1" applyBorder="1" applyFont="1" applyNumberFormat="1">
      <alignment horizontal="center" shrinkToFit="0" vertical="center" wrapText="1"/>
    </xf>
    <xf borderId="8" fillId="4" fontId="5" numFmtId="0" xfId="0" applyAlignment="1" applyBorder="1" applyFont="1">
      <alignment horizontal="center" shrinkToFit="0" vertical="center" wrapText="1"/>
    </xf>
    <xf borderId="8" fillId="0" fontId="15" numFmtId="0" xfId="0" applyAlignment="1" applyBorder="1" applyFont="1">
      <alignment horizontal="center" shrinkToFit="0" vertical="center" wrapText="1"/>
    </xf>
    <xf borderId="8" fillId="0" fontId="4" numFmtId="0" xfId="0" applyAlignment="1" applyBorder="1" applyFont="1">
      <alignment horizontal="left" shrinkToFit="0" vertical="center" wrapText="1"/>
    </xf>
    <xf borderId="8" fillId="0" fontId="5" numFmtId="0" xfId="0" applyAlignment="1" applyBorder="1" applyFont="1">
      <alignment horizontal="left" shrinkToFit="0" vertical="center" wrapText="1"/>
    </xf>
  </cellXfs>
  <cellStyles count="1">
    <cellStyle xfId="0" name="Normal" builtinId="0"/>
  </cellStyles>
  <dxfs count="8">
    <dxf>
      <font>
        <b/>
        <sz val="13.0"/>
        <color rgb="FF5F5E5A"/>
        <name val="Arial"/>
      </font>
      <fill>
        <patternFill patternType="solid">
          <fgColor rgb="FFFFFFFF"/>
          <bgColor rgb="FFFFFFFF"/>
        </patternFill>
      </fill>
      <border/>
    </dxf>
    <dxf>
      <font>
        <b/>
        <sz val="13.0"/>
        <color rgb="FF633806"/>
        <name val="Arial"/>
      </font>
      <fill>
        <patternFill patternType="solid">
          <fgColor rgb="FFFFF9F0"/>
          <bgColor rgb="FFFFF9F0"/>
        </patternFill>
      </fill>
      <border/>
    </dxf>
    <dxf>
      <font>
        <b/>
        <sz val="13.0"/>
        <color rgb="FF633806"/>
        <name val="Arial"/>
      </font>
      <fill>
        <patternFill patternType="solid">
          <fgColor rgb="FFFAEEDA"/>
          <bgColor rgb="FFFAEEDA"/>
        </patternFill>
      </fill>
      <border/>
    </dxf>
    <dxf>
      <font>
        <b/>
        <sz val="13.0"/>
        <color rgb="FF8B4000"/>
        <name val="Arial"/>
      </font>
      <fill>
        <patternFill patternType="solid">
          <fgColor rgb="FFFCEBD0"/>
          <bgColor rgb="FFFCEBD0"/>
        </patternFill>
      </fill>
      <border/>
    </dxf>
    <dxf>
      <font>
        <b/>
        <sz val="13.0"/>
        <color rgb="FF791F1F"/>
        <name val="Arial"/>
      </font>
      <fill>
        <patternFill patternType="solid">
          <fgColor rgb="FFFCEBEB"/>
          <bgColor rgb="FFFCEBEB"/>
        </patternFill>
      </fill>
      <border/>
    </dxf>
    <dxf>
      <font>
        <b/>
        <color rgb="FF791F1F"/>
        <name val="Arial"/>
      </font>
      <fill>
        <patternFill patternType="solid">
          <fgColor rgb="FFFCEBEB"/>
          <bgColor rgb="FFFCEBEB"/>
        </patternFill>
      </fill>
      <border/>
    </dxf>
    <dxf>
      <font>
        <b/>
        <color rgb="FF633806"/>
        <name val="Arial"/>
      </font>
      <fill>
        <patternFill patternType="solid">
          <fgColor rgb="FFFAEEDA"/>
          <bgColor rgb="FFFAEEDA"/>
        </patternFill>
      </fill>
      <border/>
    </dxf>
    <dxf>
      <font>
        <color rgb="FF27500A"/>
        <name val="Arial"/>
      </font>
      <fill>
        <patternFill patternType="solid">
          <fgColor rgb="FFEAF3DE"/>
          <bgColor rgb="FFEAF3DE"/>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22.0"/>
    <col customWidth="1" min="3" max="3" width="50.0"/>
    <col customWidth="1" min="4" max="4" width="22.0"/>
    <col customWidth="1" min="5" max="5" width="18.0"/>
    <col customWidth="1" min="6" max="26" width="8.86"/>
  </cols>
  <sheetData>
    <row r="2" ht="39.75" customHeight="1">
      <c r="B2" s="1" t="s">
        <v>0</v>
      </c>
      <c r="C2" s="2"/>
      <c r="D2" s="2"/>
      <c r="E2" s="3"/>
    </row>
    <row r="3" ht="21.75" customHeight="1">
      <c r="B3" s="4" t="s">
        <v>1</v>
      </c>
      <c r="C3" s="2"/>
      <c r="D3" s="2"/>
      <c r="E3" s="3"/>
    </row>
    <row r="5" ht="18.0" customHeight="1">
      <c r="B5" s="5" t="s">
        <v>2</v>
      </c>
      <c r="C5" s="6"/>
      <c r="D5" s="6"/>
      <c r="E5" s="7"/>
    </row>
    <row r="6" ht="18.0" customHeight="1">
      <c r="B6" s="8" t="s">
        <v>3</v>
      </c>
      <c r="C6" s="6"/>
      <c r="D6" s="6"/>
      <c r="E6" s="7"/>
    </row>
    <row r="7" ht="18.0" customHeight="1">
      <c r="B7" s="8" t="s">
        <v>4</v>
      </c>
      <c r="C7" s="6"/>
      <c r="D7" s="6"/>
      <c r="E7" s="7"/>
    </row>
    <row r="8" ht="18.0" customHeight="1">
      <c r="B8" s="8" t="s">
        <v>5</v>
      </c>
      <c r="C8" s="6"/>
      <c r="D8" s="6"/>
      <c r="E8" s="7"/>
    </row>
    <row r="9" ht="18.0" customHeight="1">
      <c r="B9" s="8" t="s">
        <v>6</v>
      </c>
      <c r="C9" s="6"/>
      <c r="D9" s="6"/>
      <c r="E9" s="7"/>
    </row>
    <row r="10" ht="18.0" customHeight="1">
      <c r="B10" s="8" t="s">
        <v>7</v>
      </c>
      <c r="C10" s="6"/>
      <c r="D10" s="6"/>
      <c r="E10" s="7"/>
    </row>
    <row r="11" ht="18.0" customHeight="1">
      <c r="B11" s="8" t="s">
        <v>8</v>
      </c>
      <c r="C11" s="6"/>
      <c r="D11" s="6"/>
      <c r="E11" s="7"/>
    </row>
    <row r="12" ht="18.0" customHeight="1">
      <c r="B12" s="8" t="s">
        <v>9</v>
      </c>
      <c r="C12" s="6"/>
      <c r="D12" s="6"/>
      <c r="E12" s="7"/>
    </row>
    <row r="15" ht="18.0" customHeight="1">
      <c r="B15" s="9" t="s">
        <v>10</v>
      </c>
      <c r="C15" s="6"/>
      <c r="D15" s="6"/>
      <c r="E15" s="7"/>
    </row>
    <row r="16" ht="18.0" customHeight="1">
      <c r="B16" s="10" t="s">
        <v>11</v>
      </c>
      <c r="C16" s="8" t="s">
        <v>12</v>
      </c>
      <c r="D16" s="6"/>
      <c r="E16" s="7"/>
    </row>
    <row r="17" ht="18.0" customHeight="1">
      <c r="B17" s="10" t="s">
        <v>13</v>
      </c>
      <c r="C17" s="8" t="s">
        <v>14</v>
      </c>
      <c r="D17" s="6"/>
      <c r="E17" s="7"/>
    </row>
    <row r="18" ht="18.0" customHeight="1">
      <c r="B18" s="10" t="s">
        <v>15</v>
      </c>
      <c r="C18" s="8" t="s">
        <v>16</v>
      </c>
      <c r="D18" s="6"/>
      <c r="E18" s="7"/>
    </row>
    <row r="19" ht="18.0" customHeight="1">
      <c r="B19" s="10" t="s">
        <v>17</v>
      </c>
      <c r="C19" s="8" t="s">
        <v>18</v>
      </c>
      <c r="D19" s="6"/>
      <c r="E19" s="7"/>
    </row>
    <row r="20" ht="18.0" customHeight="1">
      <c r="B20" s="10" t="s">
        <v>19</v>
      </c>
      <c r="C20" s="8" t="s">
        <v>20</v>
      </c>
      <c r="D20" s="6"/>
      <c r="E20" s="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6">
    <mergeCell ref="B2:E2"/>
    <mergeCell ref="B3:E3"/>
    <mergeCell ref="B5:E5"/>
    <mergeCell ref="B6:E6"/>
    <mergeCell ref="B7:E7"/>
    <mergeCell ref="B8:E8"/>
    <mergeCell ref="B9:E9"/>
    <mergeCell ref="C19:E19"/>
    <mergeCell ref="C20:E20"/>
    <mergeCell ref="B10:E10"/>
    <mergeCell ref="B11:E11"/>
    <mergeCell ref="B12:E12"/>
    <mergeCell ref="B15:E15"/>
    <mergeCell ref="C16:E16"/>
    <mergeCell ref="C17:E17"/>
    <mergeCell ref="C18:E18"/>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5.0"/>
    <col customWidth="1" min="2" max="2" width="16.0"/>
    <col customWidth="1" min="3" max="3" width="32.0"/>
    <col customWidth="1" min="4" max="4" width="28.0"/>
    <col customWidth="1" min="5" max="5" width="12.0"/>
    <col customWidth="1" min="6" max="6" width="26.0"/>
    <col customWidth="1" min="7" max="7" width="30.0"/>
    <col customWidth="1" min="8" max="8" width="16.0"/>
    <col customWidth="1" min="9" max="26" width="8.86"/>
  </cols>
  <sheetData>
    <row r="1" ht="31.5" customHeight="1">
      <c r="A1" s="11" t="s">
        <v>21</v>
      </c>
      <c r="B1" s="2"/>
      <c r="C1" s="2"/>
      <c r="D1" s="2"/>
      <c r="E1" s="2"/>
      <c r="F1" s="2"/>
      <c r="G1" s="2"/>
      <c r="H1" s="3"/>
    </row>
    <row r="2" ht="15.75" customHeight="1">
      <c r="A2" s="12" t="s">
        <v>22</v>
      </c>
      <c r="B2" s="2"/>
      <c r="C2" s="2"/>
      <c r="D2" s="2"/>
      <c r="E2" s="2"/>
      <c r="F2" s="2"/>
      <c r="G2" s="2"/>
      <c r="H2" s="3"/>
    </row>
    <row r="3" ht="31.5" customHeight="1">
      <c r="A3" s="13" t="s">
        <v>23</v>
      </c>
      <c r="B3" s="13" t="s">
        <v>24</v>
      </c>
      <c r="C3" s="13" t="s">
        <v>25</v>
      </c>
      <c r="D3" s="13" t="s">
        <v>26</v>
      </c>
      <c r="E3" s="13" t="s">
        <v>27</v>
      </c>
      <c r="F3" s="13" t="s">
        <v>28</v>
      </c>
      <c r="G3" s="13" t="s">
        <v>29</v>
      </c>
      <c r="H3" s="13" t="s">
        <v>30</v>
      </c>
    </row>
    <row r="4" ht="66.0" customHeight="1">
      <c r="A4" s="14">
        <v>1.0</v>
      </c>
      <c r="B4" s="15" t="s">
        <v>31</v>
      </c>
      <c r="C4" s="15" t="s">
        <v>32</v>
      </c>
      <c r="D4" s="15" t="s">
        <v>33</v>
      </c>
      <c r="E4" s="16">
        <v>2.0</v>
      </c>
      <c r="F4" s="17"/>
      <c r="G4" s="15" t="s">
        <v>34</v>
      </c>
      <c r="H4" s="15" t="s">
        <v>35</v>
      </c>
    </row>
    <row r="5" ht="122.25" customHeight="1">
      <c r="A5" s="18">
        <v>2.0</v>
      </c>
      <c r="B5" s="19" t="s">
        <v>31</v>
      </c>
      <c r="C5" s="19" t="s">
        <v>36</v>
      </c>
      <c r="D5" s="15" t="s">
        <v>37</v>
      </c>
      <c r="E5" s="20">
        <v>1.0</v>
      </c>
      <c r="F5" s="21"/>
      <c r="G5" s="19" t="s">
        <v>38</v>
      </c>
      <c r="H5" s="15" t="s">
        <v>35</v>
      </c>
    </row>
    <row r="6" ht="111.0" customHeight="1">
      <c r="A6" s="14">
        <v>3.0</v>
      </c>
      <c r="B6" s="15" t="s">
        <v>39</v>
      </c>
      <c r="C6" s="19" t="s">
        <v>40</v>
      </c>
      <c r="D6" s="15" t="s">
        <v>41</v>
      </c>
      <c r="E6" s="16">
        <v>2.0</v>
      </c>
      <c r="F6" s="17"/>
      <c r="G6" s="19" t="s">
        <v>42</v>
      </c>
      <c r="H6" s="15" t="s">
        <v>35</v>
      </c>
    </row>
    <row r="7" ht="132.75" customHeight="1">
      <c r="A7" s="18">
        <v>4.0</v>
      </c>
      <c r="B7" s="19" t="s">
        <v>43</v>
      </c>
      <c r="C7" s="19" t="s">
        <v>44</v>
      </c>
      <c r="D7" s="15" t="s">
        <v>45</v>
      </c>
      <c r="E7" s="20">
        <v>1.0</v>
      </c>
      <c r="F7" s="21"/>
      <c r="G7" s="19" t="s">
        <v>46</v>
      </c>
      <c r="H7" s="15" t="s">
        <v>35</v>
      </c>
    </row>
    <row r="8" ht="135.0" customHeight="1">
      <c r="A8" s="14">
        <v>5.0</v>
      </c>
      <c r="B8" s="15" t="s">
        <v>47</v>
      </c>
      <c r="C8" s="19" t="s">
        <v>48</v>
      </c>
      <c r="D8" s="15" t="s">
        <v>49</v>
      </c>
      <c r="E8" s="16">
        <v>1.0</v>
      </c>
      <c r="F8" s="17"/>
      <c r="G8" s="19" t="s">
        <v>50</v>
      </c>
      <c r="H8" s="15" t="s">
        <v>35</v>
      </c>
    </row>
    <row r="9" ht="151.5" customHeight="1">
      <c r="A9" s="18">
        <v>6.0</v>
      </c>
      <c r="B9" s="19" t="s">
        <v>51</v>
      </c>
      <c r="C9" s="19" t="s">
        <v>52</v>
      </c>
      <c r="D9" s="15" t="s">
        <v>53</v>
      </c>
      <c r="E9" s="16">
        <v>2.0</v>
      </c>
      <c r="F9" s="21"/>
      <c r="G9" s="19" t="s">
        <v>54</v>
      </c>
      <c r="H9" s="15" t="s">
        <v>35</v>
      </c>
    </row>
    <row r="10" ht="153.75" customHeight="1">
      <c r="A10" s="14">
        <v>7.0</v>
      </c>
      <c r="B10" s="15" t="s">
        <v>55</v>
      </c>
      <c r="C10" s="19" t="s">
        <v>56</v>
      </c>
      <c r="D10" s="15" t="s">
        <v>57</v>
      </c>
      <c r="E10" s="16">
        <v>2.0</v>
      </c>
      <c r="F10" s="17"/>
      <c r="G10" s="15" t="s">
        <v>58</v>
      </c>
      <c r="H10" s="15" t="s">
        <v>35</v>
      </c>
    </row>
    <row r="11" ht="122.25" customHeight="1">
      <c r="A11" s="18">
        <v>8.0</v>
      </c>
      <c r="B11" s="19" t="s">
        <v>59</v>
      </c>
      <c r="C11" s="19" t="s">
        <v>60</v>
      </c>
      <c r="D11" s="15" t="s">
        <v>61</v>
      </c>
      <c r="E11" s="16">
        <v>2.0</v>
      </c>
      <c r="F11" s="21"/>
      <c r="G11" s="19" t="s">
        <v>62</v>
      </c>
      <c r="H11" s="15" t="s">
        <v>35</v>
      </c>
    </row>
    <row r="12" ht="129.0" customHeight="1">
      <c r="A12" s="14">
        <v>9.0</v>
      </c>
      <c r="B12" s="15" t="s">
        <v>63</v>
      </c>
      <c r="C12" s="19" t="s">
        <v>64</v>
      </c>
      <c r="D12" s="15" t="s">
        <v>65</v>
      </c>
      <c r="E12" s="16">
        <v>1.0</v>
      </c>
      <c r="F12" s="17"/>
      <c r="G12" s="19" t="s">
        <v>66</v>
      </c>
      <c r="H12" s="15" t="s">
        <v>35</v>
      </c>
    </row>
    <row r="13" ht="111.0" customHeight="1">
      <c r="A13" s="18">
        <v>10.0</v>
      </c>
      <c r="B13" s="19" t="s">
        <v>67</v>
      </c>
      <c r="C13" s="19" t="s">
        <v>68</v>
      </c>
      <c r="D13" s="15" t="s">
        <v>69</v>
      </c>
      <c r="E13" s="20">
        <v>2.0</v>
      </c>
      <c r="F13" s="21"/>
      <c r="G13" s="19" t="s">
        <v>70</v>
      </c>
      <c r="H13" s="15" t="s">
        <v>35</v>
      </c>
    </row>
    <row r="14" ht="131.25" customHeight="1">
      <c r="A14" s="14">
        <v>11.0</v>
      </c>
      <c r="B14" s="15" t="s">
        <v>71</v>
      </c>
      <c r="C14" s="19" t="s">
        <v>72</v>
      </c>
      <c r="D14" s="15" t="s">
        <v>73</v>
      </c>
      <c r="E14" s="16">
        <v>3.0</v>
      </c>
      <c r="F14" s="17"/>
      <c r="G14" s="19" t="s">
        <v>74</v>
      </c>
      <c r="H14" s="15" t="s">
        <v>35</v>
      </c>
    </row>
    <row r="15" ht="42.0" customHeight="1"/>
    <row r="16" ht="42.0" customHeight="1"/>
    <row r="17" ht="42.0" customHeight="1"/>
    <row r="18" ht="42.0" customHeight="1"/>
    <row r="19" ht="42.0" customHeight="1"/>
    <row r="20" ht="42.0" customHeight="1"/>
    <row r="21" ht="42.0" customHeight="1"/>
    <row r="22" ht="42.0" customHeight="1"/>
    <row r="23" ht="42.0" customHeight="1"/>
    <row r="24" ht="42.0" customHeight="1"/>
    <row r="25" ht="42.0" customHeight="1"/>
    <row r="26" ht="42.0" customHeight="1"/>
    <row r="27" ht="42.0" customHeight="1"/>
    <row r="28" ht="42.0"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H1"/>
    <mergeCell ref="A2:H2"/>
  </mergeCells>
  <conditionalFormatting sqref="E4:E14">
    <cfRule type="cellIs" dxfId="0" priority="1" operator="equal">
      <formula>0</formula>
    </cfRule>
  </conditionalFormatting>
  <conditionalFormatting sqref="E4:E14">
    <cfRule type="cellIs" dxfId="1" priority="2" operator="equal">
      <formula>1</formula>
    </cfRule>
  </conditionalFormatting>
  <conditionalFormatting sqref="E4:E14">
    <cfRule type="cellIs" dxfId="2" priority="3" operator="equal">
      <formula>2</formula>
    </cfRule>
  </conditionalFormatting>
  <conditionalFormatting sqref="E4:E14">
    <cfRule type="cellIs" dxfId="3" priority="4" operator="equal">
      <formula>3</formula>
    </cfRule>
  </conditionalFormatting>
  <conditionalFormatting sqref="E4:E14">
    <cfRule type="cellIs" dxfId="4" priority="5" operator="equal">
      <formula>4</formula>
    </cfRule>
  </conditionalFormatting>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28.0"/>
    <col customWidth="1" min="3" max="5" width="14.0"/>
    <col customWidth="1" min="6" max="6" width="18.0"/>
    <col customWidth="1" min="7" max="7" width="20.0"/>
    <col customWidth="1" min="8" max="26" width="8.86"/>
  </cols>
  <sheetData>
    <row r="1" ht="31.5" customHeight="1">
      <c r="B1" s="11" t="s">
        <v>75</v>
      </c>
      <c r="C1" s="2"/>
      <c r="D1" s="2"/>
      <c r="E1" s="2"/>
      <c r="F1" s="2"/>
      <c r="G1" s="3"/>
    </row>
    <row r="2" ht="15.75" customHeight="1">
      <c r="B2" s="12" t="s">
        <v>76</v>
      </c>
      <c r="C2" s="2"/>
      <c r="D2" s="2"/>
      <c r="E2" s="2"/>
      <c r="F2" s="2"/>
      <c r="G2" s="3"/>
    </row>
    <row r="4" ht="18.0" customHeight="1">
      <c r="B4" s="22" t="s">
        <v>77</v>
      </c>
      <c r="C4" s="2"/>
      <c r="D4" s="2"/>
      <c r="E4" s="2"/>
      <c r="F4" s="2"/>
      <c r="G4" s="3"/>
    </row>
    <row r="5" ht="21.75" customHeight="1">
      <c r="B5" s="23" t="s">
        <v>78</v>
      </c>
      <c r="C5" s="24">
        <f>COUNTA(Evaluacion!C4:C28)</f>
        <v>11</v>
      </c>
      <c r="D5" s="7"/>
    </row>
    <row r="6" ht="21.75" customHeight="1">
      <c r="B6" s="23" t="s">
        <v>79</v>
      </c>
      <c r="C6" s="25">
        <f>IFERROR(AVERAGE(Evaluacion!E4:E28),0)</f>
        <v>1.727272727</v>
      </c>
      <c r="D6" s="7"/>
    </row>
    <row r="7" ht="21.75" customHeight="1">
      <c r="B7" s="23" t="s">
        <v>80</v>
      </c>
      <c r="C7" s="24">
        <f>COUNTIF(Evaluacion!E4:E28,4)</f>
        <v>0</v>
      </c>
      <c r="D7" s="7"/>
    </row>
    <row r="8" ht="21.75" customHeight="1">
      <c r="B8" s="23" t="s">
        <v>81</v>
      </c>
      <c r="C8" s="24">
        <f>COUNTIF(Evaluacion!E4:E28,3)</f>
        <v>1</v>
      </c>
      <c r="D8" s="7"/>
    </row>
    <row r="9" ht="21.75" customHeight="1">
      <c r="B9" s="23" t="s">
        <v>82</v>
      </c>
      <c r="C9" s="24">
        <f>COUNTIFS(Evaluacion!E4:E28,"&gt;=1",Evaluacion!E4:E28,"&lt;=2")</f>
        <v>10</v>
      </c>
      <c r="D9" s="7"/>
    </row>
    <row r="11" ht="18.0" customHeight="1">
      <c r="B11" s="26" t="s">
        <v>83</v>
      </c>
      <c r="C11" s="2"/>
      <c r="D11" s="2"/>
      <c r="E11" s="2"/>
      <c r="F11" s="2"/>
      <c r="G11" s="3"/>
    </row>
    <row r="12" ht="19.5" customHeight="1">
      <c r="B12" s="13" t="s">
        <v>24</v>
      </c>
      <c r="C12" s="13" t="s">
        <v>84</v>
      </c>
      <c r="D12" s="13" t="s">
        <v>85</v>
      </c>
      <c r="E12" s="13" t="s">
        <v>86</v>
      </c>
      <c r="F12" s="13" t="s">
        <v>87</v>
      </c>
      <c r="G12" s="13" t="s">
        <v>88</v>
      </c>
    </row>
    <row r="13" ht="19.5" customHeight="1">
      <c r="B13" s="27" t="s">
        <v>89</v>
      </c>
      <c r="C13" s="28">
        <f>COUNTIF(Evaluacion!B4:B28,"*H1*")</f>
        <v>3</v>
      </c>
      <c r="D13" s="28">
        <f>IFERROR(_xludf.MAXIFS(Evaluacion!E4:E28,Evaluacion!B4:B28,"*H1*"),0)</f>
        <v>0</v>
      </c>
      <c r="E13" s="29">
        <f>IFERROR(AVERAGEIF(Evaluacion!B4:B28,"*H1*",Evaluacion!E4:E28),0)</f>
        <v>2</v>
      </c>
      <c r="F13" s="30" t="str">
        <f t="shared" ref="F13:F22" si="1">IF(C13=0,"Sin problemas",IF(D13&gt;=4,"CRITICO",IF(D13&gt;=3,"MAYOR","MENOR")))</f>
        <v>MENOR</v>
      </c>
      <c r="G13" s="30" t="str">
        <f t="shared" ref="G13:G22" si="2">IF(C13=0,"Sin problemas",IF(D13=4,"1 - Inmediata",IF(D13=3,"2 - Alta",IF(D13=2,"3 - Media","4 - Baja"))))</f>
        <v>4 - Baja</v>
      </c>
    </row>
    <row r="14" ht="19.5" customHeight="1">
      <c r="B14" s="31" t="s">
        <v>90</v>
      </c>
      <c r="C14" s="32">
        <f>COUNTIF(Evaluacion!B4:B28,"*H2*")</f>
        <v>1</v>
      </c>
      <c r="D14" s="32">
        <f>IFERROR(_xludf.MAXIFS(Evaluacion!E4:E28,Evaluacion!B4:B28,"*H2*"),0)</f>
        <v>0</v>
      </c>
      <c r="E14" s="33">
        <f>IFERROR(AVERAGEIF(Evaluacion!B4:B28,"*H2*",Evaluacion!E4:E28),0)</f>
        <v>2</v>
      </c>
      <c r="F14" s="34" t="str">
        <f t="shared" si="1"/>
        <v>MENOR</v>
      </c>
      <c r="G14" s="34" t="str">
        <f t="shared" si="2"/>
        <v>4 - Baja</v>
      </c>
    </row>
    <row r="15" ht="19.5" customHeight="1">
      <c r="B15" s="27" t="s">
        <v>91</v>
      </c>
      <c r="C15" s="28">
        <f>COUNTIF(Evaluacion!B4:B28,"*H3*")</f>
        <v>1</v>
      </c>
      <c r="D15" s="28">
        <f>IFERROR(_xludf.MAXIFS(Evaluacion!E4:E28,Evaluacion!B4:B28,"*H3*"),0)</f>
        <v>0</v>
      </c>
      <c r="E15" s="29">
        <f>IFERROR(AVERAGEIF(Evaluacion!B4:B28,"*H3*",Evaluacion!E4:E28),0)</f>
        <v>1</v>
      </c>
      <c r="F15" s="30" t="str">
        <f t="shared" si="1"/>
        <v>MENOR</v>
      </c>
      <c r="G15" s="30" t="str">
        <f t="shared" si="2"/>
        <v>4 - Baja</v>
      </c>
    </row>
    <row r="16" ht="19.5" customHeight="1">
      <c r="B16" s="31" t="s">
        <v>92</v>
      </c>
      <c r="C16" s="32">
        <f>COUNTIF(Evaluacion!B4:B28,"*H4*")</f>
        <v>1</v>
      </c>
      <c r="D16" s="32">
        <f>IFERROR(_xludf.MAXIFS(Evaluacion!E4:E28,Evaluacion!B4:B28,"*H4*"),0)</f>
        <v>0</v>
      </c>
      <c r="E16" s="33">
        <f>IFERROR(AVERAGEIF(Evaluacion!B4:B28,"*H4*",Evaluacion!E4:E28),0)</f>
        <v>1</v>
      </c>
      <c r="F16" s="34" t="str">
        <f t="shared" si="1"/>
        <v>MENOR</v>
      </c>
      <c r="G16" s="34" t="str">
        <f t="shared" si="2"/>
        <v>4 - Baja</v>
      </c>
    </row>
    <row r="17" ht="19.5" customHeight="1">
      <c r="B17" s="27" t="s">
        <v>93</v>
      </c>
      <c r="C17" s="28">
        <f>COUNTIF(Evaluacion!B4:B28,"*H5*")</f>
        <v>1</v>
      </c>
      <c r="D17" s="28">
        <f>IFERROR(_xludf.MAXIFS(Evaluacion!E4:E28,Evaluacion!B4:B28,"*H5*"),0)</f>
        <v>0</v>
      </c>
      <c r="E17" s="29">
        <f>IFERROR(AVERAGEIF(Evaluacion!B4:B28,"*H5*",Evaluacion!E4:E28),0)</f>
        <v>2</v>
      </c>
      <c r="F17" s="30" t="str">
        <f t="shared" si="1"/>
        <v>MENOR</v>
      </c>
      <c r="G17" s="30" t="str">
        <f t="shared" si="2"/>
        <v>4 - Baja</v>
      </c>
    </row>
    <row r="18" ht="19.5" customHeight="1">
      <c r="B18" s="31" t="s">
        <v>94</v>
      </c>
      <c r="C18" s="32">
        <f>COUNTIF(Evaluacion!B4:B28,"*H6*")</f>
        <v>1</v>
      </c>
      <c r="D18" s="32">
        <f>IFERROR(_xludf.MAXIFS(Evaluacion!E4:E28,Evaluacion!B4:B28,"*H6*"),0)</f>
        <v>0</v>
      </c>
      <c r="E18" s="33">
        <f>IFERROR(AVERAGEIF(Evaluacion!B4:B28,"*H6*",Evaluacion!E4:E28),0)</f>
        <v>2</v>
      </c>
      <c r="F18" s="34" t="str">
        <f t="shared" si="1"/>
        <v>MENOR</v>
      </c>
      <c r="G18" s="34" t="str">
        <f t="shared" si="2"/>
        <v>4 - Baja</v>
      </c>
    </row>
    <row r="19" ht="19.5" customHeight="1">
      <c r="B19" s="27" t="s">
        <v>95</v>
      </c>
      <c r="C19" s="28">
        <f>COUNTIF(Evaluacion!B4:B28,"*H7*")</f>
        <v>1</v>
      </c>
      <c r="D19" s="28">
        <f>IFERROR(_xludf.MAXIFS(Evaluacion!E4:E28,Evaluacion!B4:B28,"*H7*"),0)</f>
        <v>0</v>
      </c>
      <c r="E19" s="29">
        <f>IFERROR(AVERAGEIF(Evaluacion!B4:B28,"*H7*",Evaluacion!E4:E28),0)</f>
        <v>2</v>
      </c>
      <c r="F19" s="30" t="str">
        <f t="shared" si="1"/>
        <v>MENOR</v>
      </c>
      <c r="G19" s="30" t="str">
        <f t="shared" si="2"/>
        <v>4 - Baja</v>
      </c>
    </row>
    <row r="20" ht="19.5" customHeight="1">
      <c r="B20" s="31" t="s">
        <v>96</v>
      </c>
      <c r="C20" s="32">
        <f>COUNTIF(Evaluacion!B4:B28,"*H8*")</f>
        <v>1</v>
      </c>
      <c r="D20" s="32">
        <f>IFERROR(_xludf.MAXIFS(Evaluacion!E4:E28,Evaluacion!B4:B28,"*H8*"),0)</f>
        <v>0</v>
      </c>
      <c r="E20" s="33">
        <f>IFERROR(AVERAGEIF(Evaluacion!B4:B28,"*H8*",Evaluacion!E4:E28),0)</f>
        <v>1</v>
      </c>
      <c r="F20" s="34" t="str">
        <f t="shared" si="1"/>
        <v>MENOR</v>
      </c>
      <c r="G20" s="34" t="str">
        <f t="shared" si="2"/>
        <v>4 - Baja</v>
      </c>
    </row>
    <row r="21" ht="19.5" customHeight="1">
      <c r="B21" s="27" t="s">
        <v>97</v>
      </c>
      <c r="C21" s="28">
        <f>COUNTIF(Evaluacion!B4:B28,"*H9*")</f>
        <v>1</v>
      </c>
      <c r="D21" s="28">
        <f>IFERROR(_xludf.MAXIFS(Evaluacion!E4:E28,Evaluacion!B4:B28,"*H9*"),0)</f>
        <v>0</v>
      </c>
      <c r="E21" s="29">
        <f>IFERROR(AVERAGEIF(Evaluacion!B4:B28,"*H9*",Evaluacion!E4:E28),0)</f>
        <v>2</v>
      </c>
      <c r="F21" s="30" t="str">
        <f t="shared" si="1"/>
        <v>MENOR</v>
      </c>
      <c r="G21" s="30" t="str">
        <f t="shared" si="2"/>
        <v>4 - Baja</v>
      </c>
    </row>
    <row r="22" ht="19.5" customHeight="1">
      <c r="B22" s="31" t="s">
        <v>98</v>
      </c>
      <c r="C22" s="32">
        <f>COUNTIF(Evaluacion!B4:B28,"*H10*")</f>
        <v>1</v>
      </c>
      <c r="D22" s="32">
        <f>IFERROR(_xludf.MAXIFS(Evaluacion!E4:E28,Evaluacion!B4:B28,"*H10*"),0)</f>
        <v>0</v>
      </c>
      <c r="E22" s="33">
        <f>IFERROR(AVERAGEIF(Evaluacion!B4:B28,"*H10*",Evaluacion!E4:E28),0)</f>
        <v>3</v>
      </c>
      <c r="F22" s="34" t="str">
        <f t="shared" si="1"/>
        <v>MENOR</v>
      </c>
      <c r="G22" s="34" t="str">
        <f t="shared" si="2"/>
        <v>4 - Baja</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C9:D9"/>
    <mergeCell ref="B11:G11"/>
    <mergeCell ref="B1:G1"/>
    <mergeCell ref="B2:G2"/>
    <mergeCell ref="B4:G4"/>
    <mergeCell ref="C5:D5"/>
    <mergeCell ref="C6:D6"/>
    <mergeCell ref="C7:D7"/>
    <mergeCell ref="C8:D8"/>
  </mergeCells>
  <conditionalFormatting sqref="F13:F22">
    <cfRule type="cellIs" dxfId="5" priority="1" operator="equal">
      <formula>"CRITICO"</formula>
    </cfRule>
  </conditionalFormatting>
  <conditionalFormatting sqref="F13:F22">
    <cfRule type="cellIs" dxfId="6" priority="2" operator="equal">
      <formula>"MAYOR"</formula>
    </cfRule>
  </conditionalFormatting>
  <conditionalFormatting sqref="F13:F22">
    <cfRule type="cellIs" dxfId="7" priority="3" operator="equal">
      <formula>"Sin problemas"</formula>
    </cfRule>
  </conditionalFormatting>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7.0"/>
    <col customWidth="1" min="3" max="3" width="26.0"/>
    <col customWidth="1" min="4" max="4" width="38.0"/>
    <col customWidth="1" min="5" max="5" width="32.0"/>
    <col customWidth="1" min="6" max="6" width="28.0"/>
    <col customWidth="1" min="7" max="26" width="8.86"/>
  </cols>
  <sheetData>
    <row r="1" ht="31.5" customHeight="1">
      <c r="B1" s="11" t="s">
        <v>99</v>
      </c>
      <c r="C1" s="2"/>
      <c r="D1" s="2"/>
      <c r="E1" s="2"/>
      <c r="F1" s="3"/>
    </row>
    <row r="2" ht="15.75" customHeight="1">
      <c r="B2" s="12" t="s">
        <v>100</v>
      </c>
      <c r="C2" s="2"/>
      <c r="D2" s="2"/>
      <c r="E2" s="2"/>
      <c r="F2" s="3"/>
    </row>
    <row r="3" ht="21.75" customHeight="1">
      <c r="B3" s="13" t="s">
        <v>23</v>
      </c>
      <c r="C3" s="13" t="s">
        <v>24</v>
      </c>
      <c r="D3" s="13" t="s">
        <v>101</v>
      </c>
      <c r="E3" s="13" t="s">
        <v>102</v>
      </c>
      <c r="F3" s="13" t="s">
        <v>103</v>
      </c>
    </row>
    <row r="4" ht="57.75" customHeight="1">
      <c r="B4" s="35" t="s">
        <v>31</v>
      </c>
      <c r="C4" s="36" t="s">
        <v>104</v>
      </c>
      <c r="D4" s="37" t="s">
        <v>105</v>
      </c>
      <c r="E4" s="37" t="s">
        <v>106</v>
      </c>
      <c r="F4" s="37" t="s">
        <v>107</v>
      </c>
    </row>
    <row r="5" ht="57.75" customHeight="1">
      <c r="B5" s="35" t="s">
        <v>39</v>
      </c>
      <c r="C5" s="36" t="s">
        <v>108</v>
      </c>
      <c r="D5" s="37" t="s">
        <v>109</v>
      </c>
      <c r="E5" s="37" t="s">
        <v>110</v>
      </c>
      <c r="F5" s="37" t="s">
        <v>111</v>
      </c>
    </row>
    <row r="6" ht="57.75" customHeight="1">
      <c r="B6" s="35" t="s">
        <v>43</v>
      </c>
      <c r="C6" s="36" t="s">
        <v>112</v>
      </c>
      <c r="D6" s="37" t="s">
        <v>113</v>
      </c>
      <c r="E6" s="37" t="s">
        <v>114</v>
      </c>
      <c r="F6" s="37" t="s">
        <v>115</v>
      </c>
    </row>
    <row r="7" ht="57.75" customHeight="1">
      <c r="B7" s="35" t="s">
        <v>47</v>
      </c>
      <c r="C7" s="36" t="s">
        <v>116</v>
      </c>
      <c r="D7" s="37" t="s">
        <v>117</v>
      </c>
      <c r="E7" s="37" t="s">
        <v>118</v>
      </c>
      <c r="F7" s="37" t="s">
        <v>119</v>
      </c>
    </row>
    <row r="8" ht="57.75" customHeight="1">
      <c r="B8" s="35" t="s">
        <v>51</v>
      </c>
      <c r="C8" s="36" t="s">
        <v>120</v>
      </c>
      <c r="D8" s="37" t="s">
        <v>121</v>
      </c>
      <c r="E8" s="37" t="s">
        <v>122</v>
      </c>
      <c r="F8" s="37" t="s">
        <v>123</v>
      </c>
    </row>
    <row r="9" ht="57.75" customHeight="1">
      <c r="B9" s="35" t="s">
        <v>55</v>
      </c>
      <c r="C9" s="36" t="s">
        <v>124</v>
      </c>
      <c r="D9" s="37" t="s">
        <v>125</v>
      </c>
      <c r="E9" s="37" t="s">
        <v>126</v>
      </c>
      <c r="F9" s="37" t="s">
        <v>127</v>
      </c>
    </row>
    <row r="10" ht="57.75" customHeight="1">
      <c r="B10" s="35" t="s">
        <v>59</v>
      </c>
      <c r="C10" s="36" t="s">
        <v>128</v>
      </c>
      <c r="D10" s="37" t="s">
        <v>129</v>
      </c>
      <c r="E10" s="37" t="s">
        <v>130</v>
      </c>
      <c r="F10" s="37" t="s">
        <v>131</v>
      </c>
    </row>
    <row r="11" ht="57.75" customHeight="1">
      <c r="B11" s="35" t="s">
        <v>63</v>
      </c>
      <c r="C11" s="36" t="s">
        <v>132</v>
      </c>
      <c r="D11" s="37" t="s">
        <v>133</v>
      </c>
      <c r="E11" s="37" t="s">
        <v>134</v>
      </c>
      <c r="F11" s="37" t="s">
        <v>135</v>
      </c>
    </row>
    <row r="12" ht="57.75" customHeight="1">
      <c r="B12" s="35" t="s">
        <v>67</v>
      </c>
      <c r="C12" s="36" t="s">
        <v>136</v>
      </c>
      <c r="D12" s="37" t="s">
        <v>137</v>
      </c>
      <c r="E12" s="37" t="s">
        <v>138</v>
      </c>
      <c r="F12" s="37" t="s">
        <v>139</v>
      </c>
    </row>
    <row r="13" ht="57.75" customHeight="1">
      <c r="B13" s="35" t="s">
        <v>71</v>
      </c>
      <c r="C13" s="36" t="s">
        <v>140</v>
      </c>
      <c r="D13" s="37" t="s">
        <v>141</v>
      </c>
      <c r="E13" s="37" t="s">
        <v>142</v>
      </c>
      <c r="F13" s="37" t="s">
        <v>143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1:F1"/>
    <mergeCell ref="B2:F2"/>
  </mergeCells>
  <printOptions/>
  <pageMargins bottom="1.0" footer="0.0" header="0.0" left="0.75" right="0.75" top="1.0"/>
  <pageSetup orientation="landscape"/>
  <drawing r:id="rId1"/>
</worksheet>
</file>